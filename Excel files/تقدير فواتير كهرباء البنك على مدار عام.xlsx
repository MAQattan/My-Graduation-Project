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F_Used\5. Fifth year\Graduation project\"/>
    </mc:Choice>
  </mc:AlternateContent>
  <xr:revisionPtr revIDLastSave="0" documentId="13_ncr:1_{DD1FADB1-E6F0-44FA-ADF1-696F1A6B0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8" i="1"/>
  <c r="E12" i="1"/>
  <c r="C3" i="1"/>
  <c r="B3" i="1" s="1"/>
  <c r="C4" i="1"/>
  <c r="B4" i="1" s="1"/>
  <c r="C5" i="1"/>
  <c r="D5" i="1" s="1"/>
  <c r="E5" i="1" s="1"/>
  <c r="F5" i="1" s="1"/>
  <c r="C6" i="1"/>
  <c r="D6" i="1" s="1"/>
  <c r="E6" i="1" s="1"/>
  <c r="C7" i="1"/>
  <c r="D7" i="1" s="1"/>
  <c r="E7" i="1" s="1"/>
  <c r="C8" i="1"/>
  <c r="D8" i="1" s="1"/>
  <c r="C9" i="1"/>
  <c r="B9" i="1" s="1"/>
  <c r="C10" i="1"/>
  <c r="D10" i="1" s="1"/>
  <c r="E10" i="1" s="1"/>
  <c r="C11" i="1"/>
  <c r="B11" i="1" s="1"/>
  <c r="C12" i="1"/>
  <c r="D12" i="1" s="1"/>
  <c r="C13" i="1"/>
  <c r="D13" i="1" s="1"/>
  <c r="E13" i="1" s="1"/>
  <c r="C2" i="1"/>
  <c r="D2" i="1" s="1"/>
  <c r="E2" i="1" s="1"/>
  <c r="F7" i="1" l="1"/>
  <c r="F6" i="1"/>
  <c r="F13" i="1"/>
  <c r="F12" i="1"/>
  <c r="F10" i="1"/>
  <c r="F8" i="1"/>
  <c r="F2" i="1"/>
  <c r="B2" i="1"/>
  <c r="B8" i="1"/>
  <c r="B13" i="1"/>
  <c r="B7" i="1"/>
  <c r="B6" i="1"/>
  <c r="B5" i="1"/>
  <c r="D11" i="1"/>
  <c r="E11" i="1" s="1"/>
  <c r="D9" i="1"/>
  <c r="D4" i="1"/>
  <c r="D3" i="1"/>
  <c r="F3" i="1" s="1"/>
  <c r="B12" i="1"/>
  <c r="B10" i="1"/>
  <c r="E9" i="1" l="1"/>
  <c r="F9" i="1" s="1"/>
  <c r="E4" i="1"/>
  <c r="F4" i="1" s="1"/>
  <c r="F11" i="1"/>
  <c r="F14" i="1" l="1"/>
</calcChain>
</file>

<file path=xl/sharedStrings.xml><?xml version="1.0" encoding="utf-8"?>
<sst xmlns="http://schemas.openxmlformats.org/spreadsheetml/2006/main" count="20" uniqueCount="20">
  <si>
    <t>Month</t>
  </si>
  <si>
    <t>Energy / day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</si>
  <si>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</si>
  <si>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</si>
  <si>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</si>
  <si>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</si>
  <si>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</si>
  <si>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</si>
  <si>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</si>
  <si>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</si>
  <si>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</si>
  <si>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</si>
  <si>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</si>
  <si>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</si>
  <si>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Energy / month (kWh)</t>
  </si>
  <si>
    <t>Power required from PV (kW)</t>
  </si>
  <si>
    <t>Average Power Required from PV Power Plane =</t>
  </si>
  <si>
    <t>Electricity bill (New.S.P.)</t>
  </si>
  <si>
    <t>Maximem load Raio</t>
  </si>
  <si>
    <t>To cover 40% of the Energy py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</si>
</sst>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Agency FB"/>
      <family val="2"/>
    </font>
    <font>
      <sz val="14"/>
      <color theme="1"/>
      <name val="Agency FB"/>
      <family val="2"/>
    </font>
    <font>
      <sz val="14"/>
      <color rgb="FF000000"/>
      <name val="Agency FB"/>
      <family val="2"/>
    </font>
    <font>
      <b/>
      <sz val="14"/>
      <color theme="1"/>
      <name val="Agency FB"/>
      <family val="2"/>
    </font>
    <font>
      <sz val="14"/>
      <color theme="1"/>
      <name val="Arial"/>
      <family val="2"/>
      <scheme val="minor"/>
    </font>
    <font>
      <sz val="20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3" zoomScale="160" zoomScaleNormal="160" workbookViewId="0">
      <selection sqref="A1:F14"/>
    </sheetView>
  </sheetViews>
  <sheetFormatPr defaultRowHeight="13.8" x14ac:dyDescent="0.25"/>
  <cols>
    <col min="1" max="1" width="8.3984375" customWidth="1"/>
    <col min="2" max="2" width="10.19921875" bestFit="1" customWidth="1"/>
    <col min="3" max="3" width="12.3984375" customWidth="1"/>
    <col min="4" max="4" width="10.69921875" customWidth="1"/>
    <col min="5" max="5" width="13" customWidth="1"/>
    <col min="6" max="6" width="12.796875" customWidth="1"/>
    <col min="8" max="8" width="13.09765625" customWidth="1"/>
  </cols>
  <sheetData>
    <row r="1" spans="1:10" ht="43.8" customHeight="1" x14ac:dyDescent="0.3">
      <c r="A1" s="2" t="s">
        <v>0</v>
      </c>
      <c r="B1" s="3" t="s">
        <v>17</v>
      </c>
      <c r="C1" s="3" t="s">
        <v>14</v>
      </c>
      <c r="D1" s="3" t="s">
        <v>1</v>
      </c>
      <c r="E1" s="4" t="s">
        <v>19</v>
      </c>
      <c r="F1" s="5" t="s">
        <v>15</v>
      </c>
      <c r="G1" s="6"/>
      <c r="H1" s="14" t="s">
        <v>18</v>
      </c>
      <c r="I1" s="7"/>
      <c r="J1" s="1"/>
    </row>
    <row r="2" spans="1:10" ht="17.399999999999999" x14ac:dyDescent="0.3">
      <c r="A2" s="8" t="s">
        <v>2</v>
      </c>
      <c r="B2" s="9">
        <f>C2*17</f>
        <v>1328063.2560000001</v>
      </c>
      <c r="C2" s="9">
        <f t="shared" ref="C2:C13" si="0">90838.8*H2</f>
        <v>78121.368000000002</v>
      </c>
      <c r="D2" s="10">
        <f>C2/31</f>
        <v>2520.0441290322583</v>
      </c>
      <c r="E2" s="11">
        <f>ROUND(D2*0.4,2)</f>
        <v>1008.02</v>
      </c>
      <c r="F2" s="12">
        <f>ROUND(E2/4.74,2)</f>
        <v>212.66</v>
      </c>
      <c r="G2" s="13"/>
      <c r="H2" s="14">
        <v>0.86</v>
      </c>
      <c r="I2" s="7"/>
      <c r="J2" s="1"/>
    </row>
    <row r="3" spans="1:10" ht="17.399999999999999" x14ac:dyDescent="0.3">
      <c r="A3" s="8" t="s">
        <v>3</v>
      </c>
      <c r="B3" s="9">
        <f t="shared" ref="B3:B13" si="1">C3*17</f>
        <v>1158194.7000000002</v>
      </c>
      <c r="C3" s="9">
        <f t="shared" si="0"/>
        <v>68129.100000000006</v>
      </c>
      <c r="D3" s="10">
        <f>C3/29</f>
        <v>2349.279310344828</v>
      </c>
      <c r="E3" s="11">
        <f t="shared" ref="E3:E13" si="2">ROUND(D3*0.4,2)</f>
        <v>939.71</v>
      </c>
      <c r="F3" s="12">
        <f t="shared" ref="F3:F13" si="3">ROUND(E3/4.74,2)</f>
        <v>198.25</v>
      </c>
      <c r="G3" s="13"/>
      <c r="H3" s="14">
        <v>0.75</v>
      </c>
      <c r="I3" s="7"/>
      <c r="J3" s="1"/>
    </row>
    <row r="4" spans="1:10" ht="17.399999999999999" x14ac:dyDescent="0.3">
      <c r="A4" s="8" t="s">
        <v>4</v>
      </c>
      <c r="B4" s="9">
        <f t="shared" si="1"/>
        <v>772129.8</v>
      </c>
      <c r="C4" s="9">
        <f t="shared" si="0"/>
        <v>45419.4</v>
      </c>
      <c r="D4" s="10">
        <f t="shared" ref="D4:D13" si="4">C4/31</f>
        <v>1465.1419354838711</v>
      </c>
      <c r="E4" s="11">
        <f t="shared" si="2"/>
        <v>586.05999999999995</v>
      </c>
      <c r="F4" s="12">
        <f t="shared" si="3"/>
        <v>123.64</v>
      </c>
      <c r="G4" s="13"/>
      <c r="H4" s="14">
        <v>0.5</v>
      </c>
      <c r="I4" s="7"/>
      <c r="J4" s="1"/>
    </row>
    <row r="5" spans="1:10" ht="17.399999999999999" x14ac:dyDescent="0.3">
      <c r="A5" s="15" t="s">
        <v>5</v>
      </c>
      <c r="B5" s="16">
        <f t="shared" si="1"/>
        <v>463277.88</v>
      </c>
      <c r="C5" s="16">
        <f t="shared" si="0"/>
        <v>27251.64</v>
      </c>
      <c r="D5" s="17">
        <f>C5/30</f>
        <v>908.38800000000003</v>
      </c>
      <c r="E5" s="11">
        <f t="shared" si="2"/>
        <v>363.36</v>
      </c>
      <c r="F5" s="18">
        <f t="shared" si="3"/>
        <v>76.66</v>
      </c>
      <c r="G5" s="13"/>
      <c r="H5" s="14">
        <v>0.3</v>
      </c>
      <c r="I5" s="7"/>
      <c r="J5" s="1"/>
    </row>
    <row r="6" spans="1:10" ht="17.399999999999999" x14ac:dyDescent="0.3">
      <c r="A6" s="8" t="s">
        <v>6</v>
      </c>
      <c r="B6" s="9">
        <f t="shared" si="1"/>
        <v>694916.82</v>
      </c>
      <c r="C6" s="9">
        <f t="shared" si="0"/>
        <v>40877.46</v>
      </c>
      <c r="D6" s="10">
        <f>C6/31</f>
        <v>1318.6277419354838</v>
      </c>
      <c r="E6" s="11">
        <f t="shared" si="2"/>
        <v>527.45000000000005</v>
      </c>
      <c r="F6" s="12">
        <f t="shared" si="3"/>
        <v>111.28</v>
      </c>
      <c r="G6" s="13"/>
      <c r="H6" s="14">
        <v>0.45</v>
      </c>
      <c r="I6" s="7"/>
      <c r="J6" s="1"/>
    </row>
    <row r="7" spans="1:10" ht="17.399999999999999" x14ac:dyDescent="0.3">
      <c r="A7" s="15" t="s">
        <v>7</v>
      </c>
      <c r="B7" s="16">
        <f t="shared" si="1"/>
        <v>1080981.72</v>
      </c>
      <c r="C7" s="16">
        <f t="shared" si="0"/>
        <v>63587.159999999996</v>
      </c>
      <c r="D7" s="17">
        <f>C7/30</f>
        <v>2119.5719999999997</v>
      </c>
      <c r="E7" s="11">
        <f t="shared" si="2"/>
        <v>847.83</v>
      </c>
      <c r="F7" s="18">
        <f t="shared" si="3"/>
        <v>178.87</v>
      </c>
      <c r="G7" s="13"/>
      <c r="H7" s="14">
        <v>0.7</v>
      </c>
      <c r="I7" s="7"/>
      <c r="J7" s="1"/>
    </row>
    <row r="8" spans="1:10" ht="17.399999999999999" x14ac:dyDescent="0.3">
      <c r="A8" s="8" t="s">
        <v>8</v>
      </c>
      <c r="B8" s="9">
        <f t="shared" si="1"/>
        <v>1312620.6599999999</v>
      </c>
      <c r="C8" s="9">
        <f t="shared" si="0"/>
        <v>77212.98</v>
      </c>
      <c r="D8" s="10">
        <f t="shared" si="4"/>
        <v>2490.7412903225804</v>
      </c>
      <c r="E8" s="11">
        <f t="shared" si="2"/>
        <v>996.3</v>
      </c>
      <c r="F8" s="12">
        <f t="shared" si="3"/>
        <v>210.19</v>
      </c>
      <c r="G8" s="13"/>
      <c r="H8" s="14">
        <v>0.85</v>
      </c>
      <c r="I8" s="7"/>
      <c r="J8" s="1"/>
    </row>
    <row r="9" spans="1:10" ht="17.399999999999999" x14ac:dyDescent="0.3">
      <c r="A9" s="15" t="s">
        <v>9</v>
      </c>
      <c r="B9" s="16">
        <f t="shared" si="1"/>
        <v>1374391.0440000002</v>
      </c>
      <c r="C9" s="16">
        <f t="shared" si="0"/>
        <v>80846.532000000007</v>
      </c>
      <c r="D9" s="17">
        <f t="shared" si="4"/>
        <v>2607.9526451612905</v>
      </c>
      <c r="E9" s="11">
        <f t="shared" si="2"/>
        <v>1043.18</v>
      </c>
      <c r="F9" s="18">
        <f t="shared" si="3"/>
        <v>220.08</v>
      </c>
      <c r="G9" s="13"/>
      <c r="H9" s="14">
        <v>0.89</v>
      </c>
      <c r="I9" s="7"/>
      <c r="J9" s="1"/>
    </row>
    <row r="10" spans="1:10" ht="16.8" customHeight="1" x14ac:dyDescent="0.3">
      <c r="A10" s="8" t="s">
        <v>10</v>
      </c>
      <c r="B10" s="9">
        <f t="shared" si="1"/>
        <v>1266292.872</v>
      </c>
      <c r="C10" s="9">
        <f t="shared" si="0"/>
        <v>74487.815999999992</v>
      </c>
      <c r="D10" s="10">
        <f>C10/30</f>
        <v>2482.9271999999996</v>
      </c>
      <c r="E10" s="11">
        <f t="shared" si="2"/>
        <v>993.17</v>
      </c>
      <c r="F10" s="12">
        <f t="shared" si="3"/>
        <v>209.53</v>
      </c>
      <c r="G10" s="13"/>
      <c r="H10" s="14">
        <v>0.82</v>
      </c>
      <c r="I10" s="7"/>
      <c r="J10" s="1"/>
    </row>
    <row r="11" spans="1:10" ht="17.399999999999999" x14ac:dyDescent="0.3">
      <c r="A11" s="15" t="s">
        <v>11</v>
      </c>
      <c r="B11" s="16">
        <f t="shared" si="1"/>
        <v>478720.47600000002</v>
      </c>
      <c r="C11" s="16">
        <f t="shared" si="0"/>
        <v>28160.028000000002</v>
      </c>
      <c r="D11" s="17">
        <f t="shared" si="4"/>
        <v>908.38800000000003</v>
      </c>
      <c r="E11" s="11">
        <f t="shared" si="2"/>
        <v>363.36</v>
      </c>
      <c r="F11" s="18">
        <f t="shared" si="3"/>
        <v>76.66</v>
      </c>
      <c r="G11" s="13"/>
      <c r="H11" s="14">
        <v>0.31</v>
      </c>
      <c r="I11" s="7"/>
      <c r="J11" s="1"/>
    </row>
    <row r="12" spans="1:10" ht="17.399999999999999" x14ac:dyDescent="0.3">
      <c r="A12" s="8" t="s">
        <v>12</v>
      </c>
      <c r="B12" s="9">
        <f t="shared" si="1"/>
        <v>1003768.74</v>
      </c>
      <c r="C12" s="9">
        <f t="shared" si="0"/>
        <v>59045.22</v>
      </c>
      <c r="D12" s="10">
        <f>C12/30</f>
        <v>1968.174</v>
      </c>
      <c r="E12" s="11">
        <f t="shared" si="2"/>
        <v>787.27</v>
      </c>
      <c r="F12" s="12">
        <f t="shared" si="3"/>
        <v>166.09</v>
      </c>
      <c r="G12" s="13"/>
      <c r="H12" s="14">
        <v>0.65</v>
      </c>
      <c r="I12" s="7"/>
      <c r="J12" s="1"/>
    </row>
    <row r="13" spans="1:10" ht="17.399999999999999" x14ac:dyDescent="0.3">
      <c r="A13" s="19" t="s">
        <v>13</v>
      </c>
      <c r="B13" s="16">
        <f t="shared" si="1"/>
        <v>1266292.872</v>
      </c>
      <c r="C13" s="16">
        <f t="shared" si="0"/>
        <v>74487.815999999992</v>
      </c>
      <c r="D13" s="17">
        <f t="shared" si="4"/>
        <v>2402.8327741935482</v>
      </c>
      <c r="E13" s="11">
        <f t="shared" si="2"/>
        <v>961.13</v>
      </c>
      <c r="F13" s="20">
        <f t="shared" si="3"/>
        <v>202.77</v>
      </c>
      <c r="G13" s="13"/>
      <c r="H13" s="14">
        <v>0.82</v>
      </c>
      <c r="I13" s="7"/>
      <c r="J13" s="1"/>
    </row>
    <row r="14" spans="1:10" ht="25.8" x14ac:dyDescent="0.3">
      <c r="A14" s="24" t="s">
        <v>16</v>
      </c>
      <c r="B14" s="25"/>
      <c r="C14" s="25"/>
      <c r="D14" s="25"/>
      <c r="E14" s="25"/>
      <c r="F14" s="23">
        <f>ROUND(AVERAGE(F2:F13),0)</f>
        <v>166</v>
      </c>
      <c r="G14" s="21"/>
      <c r="H14" s="7"/>
      <c r="I14" s="7"/>
      <c r="J14" s="1"/>
    </row>
    <row r="15" spans="1:10" ht="17.399999999999999" x14ac:dyDescent="0.3">
      <c r="A15" s="7"/>
      <c r="B15" s="7"/>
      <c r="C15" s="7"/>
      <c r="D15" s="7"/>
      <c r="E15" s="7"/>
      <c r="F15" s="7"/>
      <c r="G15" s="7"/>
      <c r="H15" s="7"/>
      <c r="I15" s="7"/>
      <c r="J15" s="1"/>
    </row>
    <row r="16" spans="1:10" ht="17.399999999999999" x14ac:dyDescent="0.3">
      <c r="A16" s="7"/>
      <c r="B16" s="7"/>
      <c r="C16" s="7"/>
      <c r="D16" s="7"/>
      <c r="E16" s="7"/>
      <c r="F16" s="7"/>
      <c r="G16" s="7"/>
      <c r="H16" s="7"/>
      <c r="I16" s="7"/>
      <c r="J16" s="1"/>
    </row>
    <row r="17" spans="1:10" ht="17.399999999999999" x14ac:dyDescent="0.3">
      <c r="A17" s="7"/>
      <c r="B17" s="7"/>
      <c r="C17" s="7"/>
      <c r="D17" s="7"/>
      <c r="E17" s="7"/>
      <c r="F17" s="7"/>
      <c r="G17" s="7"/>
      <c r="H17" s="7"/>
      <c r="I17" s="7"/>
      <c r="J17" s="1"/>
    </row>
    <row r="18" spans="1:10" ht="17.399999999999999" x14ac:dyDescent="0.3">
      <c r="A18" s="7"/>
      <c r="B18" s="7"/>
      <c r="C18" s="7"/>
      <c r="D18" s="7"/>
      <c r="E18" s="7"/>
      <c r="F18" s="7"/>
      <c r="G18" s="7"/>
      <c r="H18" s="7"/>
      <c r="I18" s="7"/>
      <c r="J18" s="1"/>
    </row>
    <row r="19" spans="1:10" ht="17.399999999999999" x14ac:dyDescent="0.3">
      <c r="A19" s="7"/>
      <c r="B19" s="7"/>
      <c r="C19" s="7"/>
      <c r="D19" s="7"/>
      <c r="E19" s="7"/>
      <c r="F19" s="7"/>
      <c r="G19" s="7"/>
      <c r="H19" s="7"/>
      <c r="I19" s="7"/>
      <c r="J19" s="1"/>
    </row>
    <row r="20" spans="1:10" ht="17.399999999999999" x14ac:dyDescent="0.3">
      <c r="A20" s="7"/>
      <c r="B20" s="7"/>
      <c r="C20" s="7"/>
      <c r="D20" s="7"/>
      <c r="E20" s="7"/>
      <c r="F20" s="7"/>
      <c r="G20" s="7"/>
      <c r="H20" s="7"/>
      <c r="I20" s="7"/>
      <c r="J20" s="1"/>
    </row>
    <row r="21" spans="1:10" ht="17.399999999999999" x14ac:dyDescent="0.3">
      <c r="A21" s="7"/>
      <c r="B21" s="7"/>
      <c r="C21" s="7"/>
      <c r="D21" s="7"/>
      <c r="E21" s="7"/>
      <c r="F21" s="7"/>
      <c r="G21" s="7"/>
      <c r="H21" s="7"/>
      <c r="I21" s="7"/>
      <c r="J21" s="1"/>
    </row>
    <row r="22" spans="1:10" ht="17.399999999999999" x14ac:dyDescent="0.3">
      <c r="A22" s="7"/>
      <c r="B22" s="7"/>
      <c r="C22" s="7"/>
      <c r="D22" s="7"/>
      <c r="E22" s="7"/>
      <c r="F22" s="7"/>
      <c r="G22" s="7"/>
      <c r="H22" s="7"/>
      <c r="I22" s="7"/>
      <c r="J22" s="1"/>
    </row>
    <row r="23" spans="1:10" ht="17.399999999999999" x14ac:dyDescent="0.3">
      <c r="A23" s="22"/>
      <c r="B23" s="22"/>
      <c r="C23" s="22"/>
      <c r="D23" s="22"/>
      <c r="E23" s="22"/>
      <c r="F23" s="22"/>
      <c r="G23" s="22"/>
      <c r="H23" s="22"/>
      <c r="I23" s="22"/>
    </row>
  </sheetData>
  <mergeCells count="1">
    <mergeCell ref="A14:E14"/>
  </mergeCells>
  <pageMargins left="0.7" right="0.7" top="0.75" bottom="0.75" header="0.3" footer="0.3"/>
  <ignoredErrors>
    <ignoredError sqref="D3 D5:D7 D10:D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2026-04-09T15:39:31Z</dcterms:modified>
</cp:coreProperties>
</file>